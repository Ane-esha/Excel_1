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ntriiii\"/>
    </mc:Choice>
  </mc:AlternateContent>
  <xr:revisionPtr revIDLastSave="0" documentId="13_ncr:1_{B1360A82-A60A-4CB2-A44B-69184D17380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2" i="2" l="1" a="1"/>
  <c r="G2" i="2" s="1"/>
  <c r="L3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" i="2"/>
  <c r="J4" i="2"/>
  <c r="J5" i="2"/>
  <c r="J6" i="2"/>
  <c r="J7" i="2"/>
  <c r="J8" i="2"/>
  <c r="J9" i="2"/>
  <c r="J10" i="2"/>
  <c r="J11" i="2"/>
  <c r="J12" i="2"/>
  <c r="J13" i="2"/>
  <c r="J14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L8" i="2"/>
  <c r="L7" i="2"/>
  <c r="L6" i="2"/>
  <c r="L5" i="2"/>
  <c r="L4" i="2"/>
  <c r="L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<sst xmlns="http://schemas.openxmlformats.org/spreadsheetml/2006/main" count="170" uniqueCount="121">
  <si>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</si>
  <si>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</si>
  <si>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</si>
  <si>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</si>
  <si>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</si>
  <si>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</si>
  <si>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</si>
  <si>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</si>
  <si>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</si>
  <si>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</si>
  <si>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</si>
  <si>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</si>
  <si>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</si>
  <si>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</si>
  <si>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</si>
  <si>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</si>
  <si>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</si>
  <si>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</si>
  <si>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</si>
  <si>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</si>
  <si>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</si>
  <si>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</si>
  <si>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</si>
  <si>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</si>
  <si>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</si>
  <si>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</si>
  <si>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</si>
  <si>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</si>
  <si>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</si>
  <si>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</si>
  <si>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</si>
  <si>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</si>
  <si>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</si>
  <si>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</si>
  <si>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</si>
  <si>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</si>
  <si>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</si>
  <si>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</si>
  <si>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</si>
  <si>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</si>
  <si>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</si>
  <si>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</si>
  <si>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</si>
  <si>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</si>
  <si>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</si>
  <si>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</si>
  <si>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</si>
  <si>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</si>
  <si>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</si>
  <si>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</si>
  <si>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</si>
  <si>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</si>
  <si>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</si>
  <si>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</si>
  <si>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</si>
  <si>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</si>
  <si>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</si>
  <si>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</si>
  <si>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</si>
  <si>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</si>
  <si>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</si>
  <si>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</si>
  <si>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</si>
  <si>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</si>
  <si>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</si>
  <si>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</si>
  <si>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</si>
  <si>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</si>
  <si>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</si>
  <si>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</si>
  <si>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</si>
  <si>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</si>
  <si>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</si>
  <si>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</si>
  <si>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</si>
  <si>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</si>
  <si>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</si>
  <si>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</si>
  <si>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</si>
  <si>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</si>
  <si>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</si>
  <si>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</si>
  <si>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</si>
  <si>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</si>
  <si>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</si>
  <si>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</si>
  <si>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</si>
  <si>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</si>
  <si>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</si>
  <si>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</si>
  <si>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</si>
  <si>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</si>
  <si>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</si>
  <si>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</si>
  <si>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</si>
  <si>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</si>
  <si>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</si>
  <si>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</si>
  <si>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</si>
  <si>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</si>
  <si>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</si>
  <si>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</si>
  <si>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</si>
  <si>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</si>
  <si>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</si>
  <si>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</si>
  <si>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</si>
  <si>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</si>
  <si>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</si>
  <si>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</si>
  <si>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product</t>
  </si>
  <si>
    <t>No of product</t>
  </si>
  <si>
    <t>Average of product price</t>
  </si>
  <si>
    <t>Min price among products</t>
  </si>
  <si>
    <t>Range</t>
  </si>
  <si>
    <t>Max price among products</t>
  </si>
  <si>
    <t>Sum of price of Electronics</t>
  </si>
  <si>
    <t>No of Products price less $100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</si>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</sst>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workbookViewId="0">
      <selection activeCell="L2" sqref="L2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17.42578125" customWidth="1"/>
    <col min="8" max="10" width="12.5703125" customWidth="1"/>
    <col min="11" max="11" width="28" customWidth="1"/>
  </cols>
  <sheetData>
    <row r="1" spans="1:12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114</v>
      </c>
      <c r="H1" s="5" t="s">
        <v>118</v>
      </c>
      <c r="I1" s="5" t="s">
        <v>119</v>
      </c>
      <c r="J1" s="5" t="s">
        <v>120</v>
      </c>
      <c r="K1" s="6"/>
    </row>
    <row r="2" spans="1:12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 cm="1">
        <f t="array" ref="G2:G35">IF(D2:D35&gt;=500,"HIGH PRICE","STANDARD PRICE")</f>
        <v>HIGH PRICE</v>
      </c>
      <c r="H2" s="7" t="str">
        <f>LEFT(A2,2)</f>
        <v>28</v>
      </c>
      <c r="I2" s="7" t="str">
        <f>RIGHT(A2,2)</f>
        <v>US</v>
      </c>
      <c r="J2" s="7" t="str">
        <f>MID(A2,4,3)</f>
        <v>JAN</v>
      </c>
      <c r="K2" s="7" t="s">
        <v>110</v>
      </c>
      <c r="L2">
        <f>SUM(D2:D35)</f>
        <v>10100</v>
      </c>
    </row>
    <row r="3" spans="1:12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8" t="str">
        <v>STANDARD PRICE</v>
      </c>
      <c r="H3" s="7" t="str">
        <f>LEFT(A3,2)</f>
        <v>15</v>
      </c>
      <c r="I3" s="7" t="str">
        <f t="shared" ref="I3:I35" si="0">RIGHT(A3,2)</f>
        <v>US</v>
      </c>
      <c r="J3" s="7" t="str">
        <f t="shared" ref="J3:J35" si="1">MID(A3,4,3)</f>
        <v>FEB</v>
      </c>
      <c r="K3" s="7" t="s">
        <v>111</v>
      </c>
      <c r="L3">
        <f>COUNT(D2:D35)</f>
        <v>34</v>
      </c>
    </row>
    <row r="4" spans="1:12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tr">
        <v>STANDARD PRICE</v>
      </c>
      <c r="H4" s="7" t="str">
        <f t="shared" ref="H3:H35" si="2">LEFT(A4,2)</f>
        <v>03</v>
      </c>
      <c r="I4" s="7" t="str">
        <f t="shared" si="0"/>
        <v>US</v>
      </c>
      <c r="J4" s="7" t="str">
        <f t="shared" si="1"/>
        <v>MAR</v>
      </c>
      <c r="K4" s="7" t="s">
        <v>112</v>
      </c>
      <c r="L4">
        <f>AVERAGE(D2:D35)</f>
        <v>297.05882352941177</v>
      </c>
    </row>
    <row r="5" spans="1:12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8" t="str">
        <v>HIGH PRICE</v>
      </c>
      <c r="H5" s="7" t="str">
        <f t="shared" si="2"/>
        <v>11</v>
      </c>
      <c r="I5" s="7" t="str">
        <f t="shared" si="0"/>
        <v>US</v>
      </c>
      <c r="J5" s="7" t="str">
        <f t="shared" si="1"/>
        <v>APR</v>
      </c>
      <c r="K5" s="7" t="s">
        <v>113</v>
      </c>
      <c r="L5">
        <f>MIN(D2:D35)</f>
        <v>30</v>
      </c>
    </row>
    <row r="6" spans="1:12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tr">
        <v>STANDARD PRICE</v>
      </c>
      <c r="H6" s="7" t="str">
        <f t="shared" si="2"/>
        <v>22</v>
      </c>
      <c r="I6" s="7" t="str">
        <f t="shared" si="0"/>
        <v>US</v>
      </c>
      <c r="J6" s="7" t="str">
        <f t="shared" si="1"/>
        <v>MAY</v>
      </c>
      <c r="K6" s="7" t="s">
        <v>115</v>
      </c>
      <c r="L6">
        <f>MAX(D2:D35)</f>
        <v>1000</v>
      </c>
    </row>
    <row r="7" spans="1:12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8" t="str">
        <v>STANDARD PRICE</v>
      </c>
      <c r="H7" s="7" t="str">
        <f t="shared" si="2"/>
        <v>07</v>
      </c>
      <c r="I7" s="7" t="str">
        <f t="shared" si="0"/>
        <v>UK</v>
      </c>
      <c r="J7" s="7" t="str">
        <f t="shared" si="1"/>
        <v>JUN</v>
      </c>
      <c r="K7" s="7" t="s">
        <v>116</v>
      </c>
      <c r="L7">
        <f>SUMIF(F2:F35,"Electronics",D2:D35)</f>
        <v>8050</v>
      </c>
    </row>
    <row r="8" spans="1:12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tr">
        <v>STANDARD PRICE</v>
      </c>
      <c r="H8" s="7" t="str">
        <f t="shared" si="2"/>
        <v>19</v>
      </c>
      <c r="I8" s="7" t="str">
        <f t="shared" si="0"/>
        <v>UK</v>
      </c>
      <c r="J8" s="7" t="str">
        <f t="shared" si="1"/>
        <v>JUL</v>
      </c>
      <c r="K8" s="7" t="s">
        <v>117</v>
      </c>
      <c r="L8">
        <f>COUNTIF(D2:D35,"&lt;100")</f>
        <v>11</v>
      </c>
    </row>
    <row r="9" spans="1:12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8" t="str">
        <v>STANDARD PRICE</v>
      </c>
      <c r="H9" s="7" t="str">
        <f t="shared" si="2"/>
        <v>23</v>
      </c>
      <c r="I9" s="7" t="str">
        <f t="shared" si="0"/>
        <v>UK</v>
      </c>
      <c r="J9" s="7" t="str">
        <f t="shared" si="1"/>
        <v>AUG</v>
      </c>
      <c r="K9" s="7"/>
    </row>
    <row r="10" spans="1:12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 t="str">
        <v>HIGH PRICE</v>
      </c>
      <c r="H10" s="7" t="str">
        <f t="shared" si="2"/>
        <v>05</v>
      </c>
      <c r="I10" s="7" t="str">
        <f t="shared" si="0"/>
        <v>UK</v>
      </c>
      <c r="J10" s="7" t="str">
        <f t="shared" si="1"/>
        <v>SEP</v>
      </c>
      <c r="K10" s="7"/>
    </row>
    <row r="11" spans="1:12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8" t="str">
        <v>STANDARD PRICE</v>
      </c>
      <c r="H11" s="7" t="str">
        <f t="shared" si="2"/>
        <v>14</v>
      </c>
      <c r="I11" s="7" t="str">
        <f t="shared" si="0"/>
        <v>UK</v>
      </c>
      <c r="J11" s="7" t="str">
        <f t="shared" si="1"/>
        <v>OCT</v>
      </c>
      <c r="K11" s="7"/>
    </row>
    <row r="12" spans="1:12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 t="str">
        <v>HIGH PRICE</v>
      </c>
      <c r="H12" s="7" t="str">
        <f t="shared" si="2"/>
        <v>17</v>
      </c>
      <c r="I12" s="7" t="str">
        <f t="shared" si="0"/>
        <v>IN</v>
      </c>
      <c r="J12" s="7" t="str">
        <f t="shared" si="1"/>
        <v>JUN</v>
      </c>
      <c r="K12" s="7"/>
    </row>
    <row r="13" spans="1:12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8" t="str">
        <v>STANDARD PRICE</v>
      </c>
      <c r="H13" s="7" t="str">
        <f t="shared" si="2"/>
        <v>25</v>
      </c>
      <c r="I13" s="7" t="str">
        <f t="shared" si="0"/>
        <v>AU</v>
      </c>
      <c r="J13" s="7" t="str">
        <f t="shared" si="1"/>
        <v>NOV</v>
      </c>
      <c r="K13" s="7"/>
    </row>
    <row r="14" spans="1:12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 t="str">
        <v>STANDARD PRICE</v>
      </c>
      <c r="H14" s="7" t="str">
        <f t="shared" si="2"/>
        <v>08</v>
      </c>
      <c r="I14" s="7" t="str">
        <f t="shared" si="0"/>
        <v>DE</v>
      </c>
      <c r="J14" s="7" t="str">
        <f t="shared" si="1"/>
        <v>DEC</v>
      </c>
      <c r="K14" s="7"/>
    </row>
    <row r="15" spans="1:12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8" t="str">
        <v>STANDARD PRICE</v>
      </c>
      <c r="H15" s="7" t="str">
        <f t="shared" si="2"/>
        <v>18</v>
      </c>
      <c r="I15" s="7" t="str">
        <f t="shared" si="0"/>
        <v>CA</v>
      </c>
      <c r="J15" s="7" t="str">
        <f t="shared" si="1"/>
        <v>FEB</v>
      </c>
      <c r="K15" s="7"/>
    </row>
    <row r="16" spans="1:12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 t="str">
        <v>STANDARD PRICE</v>
      </c>
      <c r="H16" s="7" t="str">
        <f t="shared" si="2"/>
        <v>16</v>
      </c>
      <c r="I16" s="7" t="str">
        <f t="shared" si="0"/>
        <v>ES</v>
      </c>
      <c r="J16" s="7" t="str">
        <f t="shared" si="1"/>
        <v>APR</v>
      </c>
      <c r="K16" s="7"/>
    </row>
    <row r="17" spans="1:11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8" t="str">
        <v>STANDARD PRICE</v>
      </c>
      <c r="H17" s="7" t="str">
        <f t="shared" si="2"/>
        <v>21</v>
      </c>
      <c r="I17" s="7" t="str">
        <f t="shared" si="0"/>
        <v>CA</v>
      </c>
      <c r="J17" s="7" t="str">
        <f t="shared" si="1"/>
        <v>AUG</v>
      </c>
      <c r="K17" s="7"/>
    </row>
    <row r="18" spans="1:11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 t="str">
        <v>STANDARD PRICE</v>
      </c>
      <c r="H18" s="7" t="str">
        <f t="shared" si="2"/>
        <v>20</v>
      </c>
      <c r="I18" s="7" t="str">
        <f t="shared" si="0"/>
        <v>CN</v>
      </c>
      <c r="J18" s="7" t="str">
        <f t="shared" si="1"/>
        <v>AUG</v>
      </c>
      <c r="K18" s="7"/>
    </row>
    <row r="19" spans="1:11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8" t="str">
        <v>HIGH PRICE</v>
      </c>
      <c r="H19" s="7" t="str">
        <f t="shared" si="2"/>
        <v>27</v>
      </c>
      <c r="I19" s="7" t="str">
        <f t="shared" si="0"/>
        <v>IT</v>
      </c>
      <c r="J19" s="7" t="str">
        <f t="shared" si="1"/>
        <v>JAN</v>
      </c>
      <c r="K19" s="7"/>
    </row>
    <row r="20" spans="1:11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 t="str">
        <v>STANDARD PRICE</v>
      </c>
      <c r="H20" s="7" t="str">
        <f t="shared" si="2"/>
        <v>01</v>
      </c>
      <c r="I20" s="7" t="str">
        <f t="shared" si="0"/>
        <v>UK</v>
      </c>
      <c r="J20" s="7" t="str">
        <f t="shared" si="1"/>
        <v>MAR</v>
      </c>
      <c r="K20" s="7"/>
    </row>
    <row r="21" spans="1:11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8" t="str">
        <v>STANDARD PRICE</v>
      </c>
      <c r="H21" s="7" t="str">
        <f t="shared" si="2"/>
        <v>14</v>
      </c>
      <c r="I21" s="7" t="str">
        <f t="shared" si="0"/>
        <v>US</v>
      </c>
      <c r="J21" s="7" t="str">
        <f t="shared" si="1"/>
        <v>AUG</v>
      </c>
      <c r="K21" s="7"/>
    </row>
    <row r="22" spans="1:11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 t="str">
        <v>HIGH PRICE</v>
      </c>
      <c r="H22" s="7" t="str">
        <f t="shared" si="2"/>
        <v>14</v>
      </c>
      <c r="I22" s="7" t="str">
        <f t="shared" si="0"/>
        <v>RU</v>
      </c>
      <c r="J22" s="7" t="str">
        <f t="shared" si="1"/>
        <v>MAY</v>
      </c>
      <c r="K22" s="7"/>
    </row>
    <row r="23" spans="1:11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8" t="str">
        <v>STANDARD PRICE</v>
      </c>
      <c r="H23" s="7" t="str">
        <f t="shared" si="2"/>
        <v>09</v>
      </c>
      <c r="I23" s="7" t="str">
        <f t="shared" si="0"/>
        <v>CA</v>
      </c>
      <c r="J23" s="7" t="str">
        <f t="shared" si="1"/>
        <v>JAN</v>
      </c>
      <c r="K23" s="7"/>
    </row>
    <row r="24" spans="1:11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 t="str">
        <v>STANDARD PRICE</v>
      </c>
      <c r="H24" s="7" t="str">
        <f t="shared" si="2"/>
        <v>19</v>
      </c>
      <c r="I24" s="7" t="str">
        <f t="shared" si="0"/>
        <v>BR</v>
      </c>
      <c r="J24" s="7" t="str">
        <f t="shared" si="1"/>
        <v>JUL</v>
      </c>
      <c r="K24" s="7"/>
    </row>
    <row r="25" spans="1:11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8" t="str">
        <v>STANDARD PRICE</v>
      </c>
      <c r="H25" s="7" t="str">
        <f t="shared" si="2"/>
        <v>21</v>
      </c>
      <c r="I25" s="7" t="str">
        <f t="shared" si="0"/>
        <v>CA</v>
      </c>
      <c r="J25" s="7" t="str">
        <f t="shared" si="1"/>
        <v>AUG</v>
      </c>
      <c r="K25" s="9"/>
    </row>
    <row r="26" spans="1:11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 t="str">
        <v>HIGH PRICE</v>
      </c>
      <c r="H26" s="7" t="str">
        <f t="shared" si="2"/>
        <v>29</v>
      </c>
      <c r="I26" s="7" t="str">
        <f t="shared" si="0"/>
        <v>CA</v>
      </c>
      <c r="J26" s="7" t="str">
        <f t="shared" si="1"/>
        <v>SEP</v>
      </c>
      <c r="K26" s="7"/>
    </row>
    <row r="27" spans="1:11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8" t="str">
        <v>STANDARD PRICE</v>
      </c>
      <c r="H27" s="7" t="str">
        <f t="shared" si="2"/>
        <v>03</v>
      </c>
      <c r="I27" s="7" t="str">
        <f t="shared" si="0"/>
        <v>CA</v>
      </c>
      <c r="J27" s="7" t="str">
        <f t="shared" si="1"/>
        <v>JUN</v>
      </c>
      <c r="K27" s="7"/>
    </row>
    <row r="28" spans="1:11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 t="str">
        <v>STANDARD PRICE</v>
      </c>
      <c r="H28" s="7" t="str">
        <f t="shared" si="2"/>
        <v>11</v>
      </c>
      <c r="I28" s="7" t="str">
        <f t="shared" si="0"/>
        <v>CA</v>
      </c>
      <c r="J28" s="7" t="str">
        <f t="shared" si="1"/>
        <v>JUL</v>
      </c>
      <c r="K28" s="7"/>
    </row>
    <row r="29" spans="1:11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8" t="str">
        <v>STANDARD PRICE</v>
      </c>
      <c r="H29" s="7" t="str">
        <f t="shared" si="2"/>
        <v>16</v>
      </c>
      <c r="I29" s="7" t="str">
        <f t="shared" si="0"/>
        <v>ES</v>
      </c>
      <c r="J29" s="7" t="str">
        <f t="shared" si="1"/>
        <v>APR</v>
      </c>
      <c r="K29" s="9"/>
    </row>
    <row r="30" spans="1:11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 t="str">
        <v>STANDARD PRICE</v>
      </c>
      <c r="H30" s="7" t="str">
        <f t="shared" si="2"/>
        <v>07</v>
      </c>
      <c r="I30" s="7" t="str">
        <f t="shared" si="0"/>
        <v>CA</v>
      </c>
      <c r="J30" s="7" t="str">
        <f t="shared" si="1"/>
        <v>MAR</v>
      </c>
      <c r="K30" s="7"/>
    </row>
    <row r="31" spans="1:11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8" t="str">
        <v>STANDARD PRICE</v>
      </c>
      <c r="H31" s="7" t="str">
        <f t="shared" si="2"/>
        <v>13</v>
      </c>
      <c r="I31" s="7" t="str">
        <f t="shared" si="0"/>
        <v>CA</v>
      </c>
      <c r="J31" s="7" t="str">
        <f t="shared" si="1"/>
        <v>APR</v>
      </c>
      <c r="K31" s="7"/>
    </row>
    <row r="32" spans="1:11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 t="str">
        <v>STANDARD PRICE</v>
      </c>
      <c r="H32" s="7" t="str">
        <f t="shared" si="2"/>
        <v>24</v>
      </c>
      <c r="I32" s="7" t="str">
        <f t="shared" si="0"/>
        <v>CA</v>
      </c>
      <c r="J32" s="7" t="str">
        <f t="shared" si="1"/>
        <v>MAY</v>
      </c>
      <c r="K32" s="7"/>
    </row>
    <row r="33" spans="1:11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8" t="str">
        <v>STANDARD PRICE</v>
      </c>
      <c r="H33" s="7" t="str">
        <f t="shared" si="2"/>
        <v>02</v>
      </c>
      <c r="I33" s="7" t="str">
        <f t="shared" si="0"/>
        <v>CA</v>
      </c>
      <c r="J33" s="7" t="str">
        <f t="shared" si="1"/>
        <v>DEC</v>
      </c>
      <c r="K33" s="7"/>
    </row>
    <row r="34" spans="1:11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 t="str">
        <v>HIGH PRICE</v>
      </c>
      <c r="H34" s="7" t="str">
        <f t="shared" si="2"/>
        <v>17</v>
      </c>
      <c r="I34" s="7" t="str">
        <f t="shared" si="0"/>
        <v>IN</v>
      </c>
      <c r="J34" s="7" t="str">
        <f t="shared" si="1"/>
        <v>JUN</v>
      </c>
      <c r="K34" s="7"/>
    </row>
    <row r="35" spans="1:11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8" t="str">
        <v>STANDARD PRICE</v>
      </c>
      <c r="H35" s="7" t="str">
        <f t="shared" si="2"/>
        <v>09</v>
      </c>
      <c r="I35" s="7" t="str">
        <f t="shared" si="0"/>
        <v>FR</v>
      </c>
      <c r="J35" s="7" t="str">
        <f t="shared" si="1"/>
        <v>JUL</v>
      </c>
      <c r="K35" s="7"/>
    </row>
    <row r="36" spans="1:11" ht="15.75" customHeight="1" x14ac:dyDescent="0.2"/>
    <row r="37" spans="1:11" ht="15.75" customHeight="1" x14ac:dyDescent="0.2"/>
    <row r="38" spans="1:11" ht="15.75" customHeight="1" x14ac:dyDescent="0.2"/>
    <row r="39" spans="1:11" ht="15.75" customHeight="1" x14ac:dyDescent="0.2"/>
    <row r="40" spans="1:11" ht="15.75" customHeight="1" x14ac:dyDescent="0.2"/>
    <row r="41" spans="1:11" ht="15.75" customHeight="1" x14ac:dyDescent="0.2"/>
    <row r="42" spans="1:11" ht="15.75" customHeight="1" x14ac:dyDescent="0.2"/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Aneesha S</cp:lastModifiedBy>
  <dcterms:modified xsi:type="dcterms:W3CDTF">2026-04-26T17:26:14Z</dcterms:modified>
</cp:coreProperties>
</file>